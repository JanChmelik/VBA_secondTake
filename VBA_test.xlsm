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44D22961-8ACC-484A-B48C-BD6DD577FB11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<sst xmlns="http://schemas.openxmlformats.org/spreadsheetml/2006/main" count="21" uniqueCount="19">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</sst>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19</xdr:row>
          <xdr:rowOff>175260</xdr:rowOff>
        </xdr:from>
        <xdr:to>
          <xdr:col>13</xdr:col>
          <xdr:colOff>15240</xdr:colOff>
          <xdr:row>22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R21"/>
  <sheetViews>
    <sheetView tabSelected="1" zoomScale="70" zoomScaleNormal="70" workbookViewId="0">
      <selection activeCell="R6" sqref="P6:R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8" x14ac:dyDescent="0.3">
      <c r="A2" s="4" t="s">
        <v>10</v>
      </c>
    </row>
    <row r="3" spans="1:18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  <c r="P3" s="1"/>
      <c r="Q3" s="1"/>
      <c r="R3" s="1"/>
    </row>
    <row r="4" spans="1:18" x14ac:dyDescent="0.3">
      <c r="B4" s="5" t="s">
        <v>0</v>
      </c>
      <c r="C4" s="5">
        <v>1000</v>
      </c>
      <c r="D4" s="5">
        <f>C4+C5-C6</f>
        <v>960</v>
      </c>
      <c r="E4" s="5">
        <f t="shared" ref="E4:O4" si="1">D4+D5-D6</f>
        <v>1051</v>
      </c>
      <c r="F4" s="5">
        <f t="shared" si="1"/>
        <v>754</v>
      </c>
      <c r="G4" s="5">
        <f t="shared" si="1"/>
        <v>889</v>
      </c>
      <c r="H4" s="5">
        <f t="shared" si="1"/>
        <v>1075</v>
      </c>
      <c r="I4" s="5">
        <f t="shared" si="1"/>
        <v>1102</v>
      </c>
      <c r="J4" s="5">
        <f t="shared" si="1"/>
        <v>1028</v>
      </c>
      <c r="K4" s="5">
        <f t="shared" si="1"/>
        <v>766</v>
      </c>
      <c r="L4" s="5">
        <f t="shared" si="1"/>
        <v>697</v>
      </c>
      <c r="M4" s="5">
        <f>L4+L5-L6</f>
        <v>694</v>
      </c>
      <c r="N4" s="5">
        <f t="shared" si="1"/>
        <v>470</v>
      </c>
      <c r="O4" s="5">
        <f t="shared" si="1"/>
        <v>257</v>
      </c>
      <c r="P4" s="5"/>
    </row>
    <row r="5" spans="1:18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8" x14ac:dyDescent="0.3">
      <c r="B6" s="5" t="s">
        <v>1</v>
      </c>
      <c r="C6" s="5">
        <v>540</v>
      </c>
      <c r="D6" s="5">
        <v>409</v>
      </c>
      <c r="E6" s="5">
        <v>797</v>
      </c>
      <c r="F6" s="5">
        <v>365</v>
      </c>
      <c r="G6" s="5">
        <v>314</v>
      </c>
      <c r="H6" s="5">
        <v>473</v>
      </c>
      <c r="I6" s="5">
        <v>574</v>
      </c>
      <c r="J6" s="5">
        <v>762</v>
      </c>
      <c r="K6" s="5">
        <v>569</v>
      </c>
      <c r="L6" s="5">
        <v>503</v>
      </c>
      <c r="M6" s="5">
        <v>724</v>
      </c>
      <c r="N6" s="5">
        <v>713</v>
      </c>
      <c r="O6" s="5">
        <v>636</v>
      </c>
      <c r="P6" s="5"/>
    </row>
    <row r="7" spans="1:18" x14ac:dyDescent="0.3">
      <c r="B7" t="s">
        <v>3</v>
      </c>
      <c r="C7" s="3">
        <v>2.3445944786071777</v>
      </c>
      <c r="D7">
        <v>2.3294117450714111</v>
      </c>
      <c r="E7">
        <v>2.5141777992248535</v>
      </c>
      <c r="F7">
        <v>2.3227090835571289</v>
      </c>
      <c r="G7">
        <v>1.9867198467254639</v>
      </c>
      <c r="H7">
        <v>2.0865800380706787</v>
      </c>
      <c r="I7">
        <v>1.808080792427063</v>
      </c>
      <c r="J7">
        <v>1.7505112886428833</v>
      </c>
      <c r="K7">
        <v>1.8494381904602051</v>
      </c>
      <c r="L7">
        <v>1.5697368383407593</v>
      </c>
      <c r="M7">
        <v>1.2808442115783691</v>
      </c>
      <c r="N7">
        <v>1.0928338766098022</v>
      </c>
    </row>
    <row r="10" spans="1:18" x14ac:dyDescent="0.3">
      <c r="B10" t="s">
        <v>5</v>
      </c>
      <c r="C10" t="s">
        <v>11</v>
      </c>
    </row>
    <row r="11" spans="1:18" x14ac:dyDescent="0.3">
      <c r="C11" t="s">
        <v>12</v>
      </c>
    </row>
    <row r="13" spans="1:18" x14ac:dyDescent="0.3">
      <c r="C13" t="s">
        <v>6</v>
      </c>
      <c r="D13">
        <f>C4-C6</f>
        <v>460</v>
      </c>
      <c r="E13">
        <f>IF(D13&gt;1,1,C6/C4)</f>
        <v>1</v>
      </c>
      <c r="F13" t="s">
        <v>13</v>
      </c>
    </row>
    <row r="14" spans="1:18" x14ac:dyDescent="0.3">
      <c r="C14" t="s">
        <v>7</v>
      </c>
      <c r="D14">
        <f>D13-D6</f>
        <v>51</v>
      </c>
      <c r="E14">
        <f>IF(D14&gt;1,1,D13/D6)</f>
        <v>1</v>
      </c>
      <c r="F14" t="s">
        <v>14</v>
      </c>
    </row>
    <row r="15" spans="1:18" x14ac:dyDescent="0.3">
      <c r="C15" t="s">
        <v>8</v>
      </c>
      <c r="D15">
        <f>D14-E6</f>
        <v>-746</v>
      </c>
      <c r="E15">
        <f>IF(D15&gt;1,1,D14/E6)</f>
        <v>6.3989962358845673E-2</v>
      </c>
      <c r="F15" t="s">
        <v>15</v>
      </c>
    </row>
    <row r="16" spans="1:18" x14ac:dyDescent="0.3">
      <c r="C16" t="s">
        <v>9</v>
      </c>
      <c r="E16" s="3">
        <f>SUM(E13:E15)</f>
        <v>2.0639899623588458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11</xdr:col>
                    <xdr:colOff>30480</xdr:colOff>
                    <xdr:row>19</xdr:row>
                    <xdr:rowOff>175260</xdr:rowOff>
                  </from>
                  <to>
                    <xdr:col>13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2024-05-20T11:03:04Z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